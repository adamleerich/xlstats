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54CA271F-EBD9-481D-88EC-A6DB67319AE8}" xr6:coauthVersionLast="47" xr6:coauthVersionMax="47" xr10:uidLastSave="{00000000-0000-0000-0000-000000000000}"/>
  <bookViews>
    <workbookView xWindow="28680" yWindow="-120" windowWidth="29040" windowHeight="15720" activeTab="3" xr2:uid="{15589DDB-8064-4C97-8C2A-E3E730A835F0}"/>
  </bookViews>
  <sheets>
    <sheet name="TODOs" sheetId="1" r:id="rId1"/>
    <sheet name="Mean and Variance" sheetId="3" r:id="rId2"/>
    <sheet name="Curve Fitting v1" sheetId="2" r:id="rId3"/>
    <sheet name="SPILL Example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" l="1"/>
  <c r="D20" i="2"/>
  <c r="I8" i="5" a="1"/>
  <c r="G28" i="5" a="1"/>
  <c r="G8" i="5" a="1"/>
  <c r="G25" i="5" a="1"/>
  <c r="G2" i="5" a="1"/>
  <c r="D3" i="2" a="1"/>
  <c r="L10" i="2" a="1"/>
  <c r="L3" i="2" a="1"/>
  <c r="I8" i="5" l="1"/>
  <c r="G28" i="5"/>
  <c r="G8" i="5"/>
  <c r="G25" i="5"/>
  <c r="G2" i="5"/>
  <c r="D3" i="2"/>
  <c r="L3" i="2"/>
  <c r="L10" i="2"/>
  <c r="Y18" i="3"/>
  <c r="W18" i="3"/>
  <c r="V18" i="3"/>
  <c r="U18" i="3"/>
  <c r="T18" i="3"/>
  <c r="S18" i="3"/>
  <c r="R18" i="3"/>
  <c r="Q18" i="3"/>
  <c r="P18" i="3"/>
  <c r="O18" i="3"/>
  <c r="S17" i="3" a="1"/>
  <c r="N17" i="3" a="1"/>
  <c r="P17" i="3" a="1"/>
  <c r="Y17" i="3" a="1"/>
  <c r="Q17" i="3" a="1"/>
  <c r="V17" i="3" a="1"/>
  <c r="W17" i="3" a="1"/>
  <c r="N7" i="3" a="1"/>
  <c r="O17" i="3" a="1"/>
  <c r="U17" i="3" a="1"/>
  <c r="R17" i="3" a="1"/>
  <c r="T1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N12" i="3" a="1"/>
  <c r="Q12" i="3" a="1"/>
  <c r="V12" i="3" a="1"/>
  <c r="V7" i="3" a="1"/>
  <c r="U12" i="3" a="1"/>
  <c r="R12" i="3" a="1"/>
  <c r="T12" i="3" a="1"/>
  <c r="T7" i="3" a="1"/>
  <c r="S12" i="3" a="1"/>
  <c r="Y7" i="3" a="1"/>
  <c r="R7" i="3" a="1"/>
  <c r="W7" i="3" a="1"/>
  <c r="O12" i="3" a="1"/>
  <c r="S7" i="3" a="1"/>
  <c r="P12" i="3" a="1"/>
  <c r="O7" i="3" a="1"/>
  <c r="Q7" i="3" a="1"/>
  <c r="U7" i="3" a="1"/>
  <c r="P7" i="3" a="1"/>
  <c r="W12" i="3" a="1"/>
  <c r="Y12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<sst xmlns="http://schemas.openxmlformats.org/spreadsheetml/2006/main" count="40" uniqueCount="30">
  <si>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</si>
  <si>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</si>
  <si>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</si>
  <si>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</si>
  <si>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</si>
  <si>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</si>
  <si>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</si>
  <si>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</si>
  <si>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</si>
  <si>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</si>
  <si>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</si>
  <si>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</si>
  <si>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1000 random uniform variables</t>
  </si>
  <si>
    <t>Average</t>
  </si>
  <si>
    <t>Population Variance</t>
  </si>
  <si>
    <t>Sample Variance</t>
  </si>
  <si>
    <t>Precision:</t>
  </si>
  <si>
    <t>1000 random LNORM</t>
  </si>
  <si>
    <t>Signed Int32 management</t>
  </si>
  <si>
    <t>percentile matching</t>
  </si>
  <si>
    <t>A</t>
  </si>
  <si>
    <t>B</t>
  </si>
  <si>
    <t>C</t>
  </si>
  <si>
    <t>E</t>
  </si>
  <si>
    <t>F</t>
  </si>
  <si>
    <t>Names</t>
  </si>
  <si>
    <t>Positions</t>
  </si>
  <si>
    <t>Range</t>
  </si>
  <si>
    <t>Amount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</si>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</sst>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6"/>
  <sheetViews>
    <sheetView workbookViewId="0">
      <selection activeCell="C30" sqref="C30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C4" t="s">
        <v>2</v>
      </c>
    </row>
    <row r="5" spans="2:3" x14ac:dyDescent="0.25">
      <c r="C5" t="s">
        <v>19</v>
      </c>
    </row>
    <row r="7" spans="2:3" x14ac:dyDescent="0.25">
      <c r="B7" t="s">
        <v>10</v>
      </c>
      <c r="C7" s="1" t="s">
        <v>4</v>
      </c>
    </row>
    <row r="8" spans="2:3" x14ac:dyDescent="0.25">
      <c r="C8" s="1" t="s">
        <v>18</v>
      </c>
    </row>
    <row r="9" spans="2:3" x14ac:dyDescent="0.25">
      <c r="C9" s="1" t="s">
        <v>11</v>
      </c>
    </row>
    <row r="11" spans="2:3" x14ac:dyDescent="0.25">
      <c r="B11" t="s">
        <v>3</v>
      </c>
    </row>
    <row r="13" spans="2:3" x14ac:dyDescent="0.25">
      <c r="B13" t="s">
        <v>5</v>
      </c>
      <c r="C13" s="1" t="s">
        <v>6</v>
      </c>
    </row>
    <row r="14" spans="2:3" x14ac:dyDescent="0.25">
      <c r="C14" s="1" t="s">
        <v>7</v>
      </c>
    </row>
    <row r="16" spans="2:3" x14ac:dyDescent="0.25">
      <c r="B16" t="s">
        <v>8</v>
      </c>
      <c r="C16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J1" sqref="J1"/>
    </sheetView>
  </sheetViews>
  <sheetFormatPr defaultRowHeight="15" x14ac:dyDescent="0.25"/>
  <sheetData>
    <row r="2" spans="2:25" ht="60" x14ac:dyDescent="0.25">
      <c r="B2" s="2" t="s">
        <v>12</v>
      </c>
      <c r="C2" s="2" t="s">
        <v>12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12</v>
      </c>
      <c r="J2" s="2" t="s">
        <v>12</v>
      </c>
      <c r="K2" s="2" t="s">
        <v>12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16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13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14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15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workbookViewId="0"/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2" bestFit="1" customWidth="1"/>
    <col min="13" max="13" width="24.140625" bestFit="1" customWidth="1"/>
  </cols>
  <sheetData>
    <row r="2" spans="2:13" ht="45" x14ac:dyDescent="0.25">
      <c r="B2" s="2" t="s">
        <v>12</v>
      </c>
      <c r="J2" s="2" t="s">
        <v>17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  <c r="L10" cm="1">
        <f t="array" ref="L10:M10">XLStatsFitDistMME(J10:J1009,"lnorm",FALSE)</f>
        <v>13.228421195827069</v>
      </c>
      <c r="M10">
        <v>1.3110821112699065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D20">
        <f>2^31</f>
        <v>2147483648</v>
      </c>
      <c r="J20">
        <v>1260557.12325081</v>
      </c>
    </row>
    <row r="21" spans="2:10" x14ac:dyDescent="0.25">
      <c r="B21">
        <v>5.2636100495587756E-2</v>
      </c>
      <c r="D21">
        <f>2^32</f>
        <v>4294967296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7A24-C1FA-48E6-8358-20EF49C65658}">
  <sheetPr codeName="Sheet4"/>
  <dimension ref="B2:U28"/>
  <sheetViews>
    <sheetView tabSelected="1" workbookViewId="0">
      <selection activeCell="S12" sqref="S12"/>
    </sheetView>
  </sheetViews>
  <sheetFormatPr defaultRowHeight="15" x14ac:dyDescent="0.25"/>
  <sheetData>
    <row r="2" spans="2:9" x14ac:dyDescent="0.25">
      <c r="B2">
        <v>1</v>
      </c>
      <c r="C2" t="s">
        <v>20</v>
      </c>
      <c r="D2" t="s">
        <v>25</v>
      </c>
      <c r="G2" cm="1">
        <f t="array" ref="G2:I6">SpillTest_NxM(B2:D6)</f>
        <v>1</v>
      </c>
      <c r="H2" t="str">
        <v>A</v>
      </c>
      <c r="I2" t="str">
        <v>Names</v>
      </c>
    </row>
    <row r="3" spans="2:9" x14ac:dyDescent="0.25">
      <c r="B3">
        <v>2</v>
      </c>
      <c r="C3" t="s">
        <v>21</v>
      </c>
      <c r="D3" t="s">
        <v>26</v>
      </c>
      <c r="G3">
        <v>2</v>
      </c>
      <c r="H3" t="str">
        <v>B</v>
      </c>
      <c r="I3" t="str">
        <v>Positions</v>
      </c>
    </row>
    <row r="4" spans="2:9" x14ac:dyDescent="0.25">
      <c r="B4">
        <v>3</v>
      </c>
      <c r="C4" t="s">
        <v>22</v>
      </c>
      <c r="D4" t="s">
        <v>27</v>
      </c>
      <c r="G4">
        <v>3</v>
      </c>
      <c r="H4" t="str">
        <v>C</v>
      </c>
      <c r="I4" t="str">
        <v>Range</v>
      </c>
    </row>
    <row r="5" spans="2:9" x14ac:dyDescent="0.25">
      <c r="B5">
        <v>4</v>
      </c>
      <c r="C5" t="s">
        <v>23</v>
      </c>
      <c r="D5" t="s">
        <v>28</v>
      </c>
      <c r="G5">
        <v>4</v>
      </c>
      <c r="H5" t="str">
        <v>E</v>
      </c>
      <c r="I5" t="str">
        <v>Amount</v>
      </c>
    </row>
    <row r="6" spans="2:9" x14ac:dyDescent="0.25">
      <c r="B6">
        <v>5</v>
      </c>
      <c r="C6" t="s">
        <v>24</v>
      </c>
      <c r="D6" t="s">
        <v>29</v>
      </c>
      <c r="G6">
        <v>5</v>
      </c>
      <c r="H6" t="str">
        <v>F</v>
      </c>
      <c r="I6" t="str">
        <v>Value</v>
      </c>
    </row>
    <row r="8" spans="2:9" x14ac:dyDescent="0.25">
      <c r="G8" cm="1">
        <f t="array" ref="G8:G22">SpillTest_Nx1(B2:D6)</f>
        <v>1</v>
      </c>
      <c r="I8" cm="1">
        <f t="array" ref="I8:I22">SpillTest_Nx1(B2:D6,FALSE)</f>
        <v>1</v>
      </c>
    </row>
    <row r="9" spans="2:9" x14ac:dyDescent="0.25">
      <c r="G9">
        <v>2</v>
      </c>
      <c r="I9" t="str">
        <v>A</v>
      </c>
    </row>
    <row r="10" spans="2:9" x14ac:dyDescent="0.25">
      <c r="G10">
        <v>3</v>
      </c>
      <c r="I10" t="str">
        <v>Names</v>
      </c>
    </row>
    <row r="11" spans="2:9" x14ac:dyDescent="0.25">
      <c r="G11">
        <v>4</v>
      </c>
      <c r="I11">
        <v>2</v>
      </c>
    </row>
    <row r="12" spans="2:9" x14ac:dyDescent="0.25">
      <c r="G12">
        <v>5</v>
      </c>
      <c r="I12" t="str">
        <v>B</v>
      </c>
    </row>
    <row r="13" spans="2:9" x14ac:dyDescent="0.25">
      <c r="G13" t="str">
        <v>A</v>
      </c>
      <c r="I13" t="str">
        <v>Positions</v>
      </c>
    </row>
    <row r="14" spans="2:9" x14ac:dyDescent="0.25">
      <c r="G14" t="str">
        <v>B</v>
      </c>
      <c r="I14">
        <v>3</v>
      </c>
    </row>
    <row r="15" spans="2:9" x14ac:dyDescent="0.25">
      <c r="G15" t="str">
        <v>C</v>
      </c>
      <c r="I15" t="str">
        <v>C</v>
      </c>
    </row>
    <row r="16" spans="2:9" x14ac:dyDescent="0.25">
      <c r="G16" t="str">
        <v>E</v>
      </c>
      <c r="I16" t="str">
        <v>Range</v>
      </c>
    </row>
    <row r="17" spans="7:21" x14ac:dyDescent="0.25">
      <c r="G17" t="str">
        <v>F</v>
      </c>
      <c r="I17">
        <v>4</v>
      </c>
    </row>
    <row r="18" spans="7:21" x14ac:dyDescent="0.25">
      <c r="G18" t="str">
        <v>Names</v>
      </c>
      <c r="I18" t="str">
        <v>E</v>
      </c>
    </row>
    <row r="19" spans="7:21" x14ac:dyDescent="0.25">
      <c r="G19" t="str">
        <v>Positions</v>
      </c>
      <c r="I19" t="str">
        <v>Amount</v>
      </c>
    </row>
    <row r="20" spans="7:21" x14ac:dyDescent="0.25">
      <c r="G20" t="str">
        <v>Range</v>
      </c>
      <c r="I20">
        <v>5</v>
      </c>
    </row>
    <row r="21" spans="7:21" x14ac:dyDescent="0.25">
      <c r="G21" t="str">
        <v>Amount</v>
      </c>
      <c r="I21" t="str">
        <v>F</v>
      </c>
    </row>
    <row r="22" spans="7:21" x14ac:dyDescent="0.25">
      <c r="G22" t="str">
        <v>Value</v>
      </c>
      <c r="I22" t="str">
        <v>Value</v>
      </c>
    </row>
    <row r="25" spans="7:21" x14ac:dyDescent="0.25">
      <c r="G25" cm="1">
        <f t="array" ref="G25:U25">SpillTest_1xM(B2:D6)</f>
        <v>1</v>
      </c>
      <c r="H25">
        <v>2</v>
      </c>
      <c r="I25">
        <v>3</v>
      </c>
      <c r="J25">
        <v>4</v>
      </c>
      <c r="K25">
        <v>5</v>
      </c>
      <c r="L25" t="str">
        <v>A</v>
      </c>
      <c r="M25" t="str">
        <v>B</v>
      </c>
      <c r="N25" t="str">
        <v>C</v>
      </c>
      <c r="O25" t="str">
        <v>E</v>
      </c>
      <c r="P25" t="str">
        <v>F</v>
      </c>
      <c r="Q25" t="str">
        <v>Names</v>
      </c>
      <c r="R25" t="str">
        <v>Positions</v>
      </c>
      <c r="S25" t="str">
        <v>Range</v>
      </c>
      <c r="T25" t="str">
        <v>Amount</v>
      </c>
      <c r="U25" t="str">
        <v>Value</v>
      </c>
    </row>
    <row r="28" spans="7:21" x14ac:dyDescent="0.25">
      <c r="G28" cm="1">
        <f t="array" ref="G28:U28">SpillTest_1xM(B2:D6,FALSE)</f>
        <v>1</v>
      </c>
      <c r="H28" t="str">
        <v>A</v>
      </c>
      <c r="I28" t="str">
        <v>Names</v>
      </c>
      <c r="J28">
        <v>2</v>
      </c>
      <c r="K28" t="str">
        <v>B</v>
      </c>
      <c r="L28" t="str">
        <v>Positions</v>
      </c>
      <c r="M28">
        <v>3</v>
      </c>
      <c r="N28" t="str">
        <v>C</v>
      </c>
      <c r="O28" t="str">
        <v>Range</v>
      </c>
      <c r="P28">
        <v>4</v>
      </c>
      <c r="Q28" t="str">
        <v>E</v>
      </c>
      <c r="R28" t="str">
        <v>Amount</v>
      </c>
      <c r="S28">
        <v>5</v>
      </c>
      <c r="T28" t="str">
        <v>F</v>
      </c>
      <c r="U28" t="str">
        <v>Value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TODOs</vt:lpstr>
      <vt:lpstr>Mean and Variance</vt:lpstr>
      <vt:lpstr>Curve Fitting v1</vt:lpstr>
      <vt:lpstr>SPILL 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2025-02-24T03:24:25Z</dcterms:modified>
</cp:coreProperties>
</file>